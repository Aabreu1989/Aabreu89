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riz Stakeholders" state="visible" r:id="rId4"/>
    <sheet sheetId="2" name="Nexus Analytics" state="visible" r:id="rId5"/>
  </sheets>
  <calcPr calcId="171027"/>
</workbook>
</file>

<file path=xl/sharedStrings.xml><?xml version="1.0" encoding="utf-8"?>
<sst xmlns="http://schemas.openxmlformats.org/spreadsheetml/2006/main" count="67" uniqueCount="66">
  <si>
    <t>ID</t>
  </si>
  <si>
    <t>Nome (Stakeholder)</t>
  </si>
  <si>
    <t>Tipo de Registro</t>
  </si>
  <si>
    <t>Papel no SBCE</t>
  </si>
  <si>
    <t>Camada 1 (Esfera)</t>
  </si>
  <si>
    <t>Camada 2 (Poder)</t>
  </si>
  <si>
    <t>Contato Principal</t>
  </si>
  <si>
    <t>Cargo</t>
  </si>
  <si>
    <t>Contato Secundário</t>
  </si>
  <si>
    <t>E-mail</t>
  </si>
  <si>
    <t>Telefone</t>
  </si>
  <si>
    <t>Influência (1-5)</t>
  </si>
  <si>
    <t>Exposição (1-5)</t>
  </si>
  <si>
    <t>Urgência (1-5)</t>
  </si>
  <si>
    <t>Potencial Bloqueio (1-5)</t>
  </si>
  <si>
    <t>Score Prioridade</t>
  </si>
  <si>
    <t>Estágio da Jornada</t>
  </si>
  <si>
    <t>Próxima Ação</t>
  </si>
  <si>
    <t>Owner Interno</t>
  </si>
  <si>
    <t>Data Último Contato</t>
  </si>
  <si>
    <t>Tipo de Interação</t>
  </si>
  <si>
    <t>Resumo Padronizado</t>
  </si>
  <si>
    <t>Tema Principal</t>
  </si>
  <si>
    <t>Tema Secundário</t>
  </si>
  <si>
    <t>Atualizado Por</t>
  </si>
  <si>
    <t>Ministério de Minas e Energia (MME)</t>
  </si>
  <si>
    <t>Instituição</t>
  </si>
  <si>
    <t>Regulador</t>
  </si>
  <si>
    <t>Federal</t>
  </si>
  <si>
    <t>Executivo</t>
  </si>
  <si>
    <t>Alexandre Silveira</t>
  </si>
  <si>
    <t>Ministro</t>
  </si>
  <si>
    <t>Chefe de Gabinete</t>
  </si>
  <si>
    <t>gabinete@mme.gov.br</t>
  </si>
  <si>
    <t>+55 61 2032-5000</t>
  </si>
  <si>
    <t>Defensor do SBCE</t>
  </si>
  <si>
    <t>Reunião Bilateral sobre CRVE</t>
  </si>
  <si>
    <t>Equipe MF - Clima</t>
  </si>
  <si>
    <t>2026-05-01</t>
  </si>
  <si>
    <t>Reunião Presencial</t>
  </si>
  <si>
    <t>Alinhamento geral sobre cronograma.</t>
  </si>
  <si>
    <t>CRVE</t>
  </si>
  <si>
    <t>Transição Energética</t>
  </si>
  <si>
    <t>NEXUS</t>
  </si>
  <si>
    <t>CNI - Confederação da Indústria</t>
  </si>
  <si>
    <t>Associação</t>
  </si>
  <si>
    <t>Regulado</t>
  </si>
  <si>
    <t>Privado</t>
  </si>
  <si>
    <t>Setor Produtivo</t>
  </si>
  <si>
    <t>Ricardo Alban</t>
  </si>
  <si>
    <t>Presidente</t>
  </si>
  <si>
    <t>Diretor de Sustentabilidade</t>
  </si>
  <si>
    <t>presidencia@cni.com.br</t>
  </si>
  <si>
    <t>+55 61 3317-9000</t>
  </si>
  <si>
    <t>Abordado</t>
  </si>
  <si>
    <t>Reunião de alto nível sobre custo</t>
  </si>
  <si>
    <t>Equipe MF - Indústria</t>
  </si>
  <si>
    <t>2026-04-20</t>
  </si>
  <si>
    <t>Call</t>
  </si>
  <si>
    <t>Apresentação de impactos na indústria.</t>
  </si>
  <si>
    <t>Competitividade</t>
  </si>
  <si>
    <t>Custo de Conformidade</t>
  </si>
  <si>
    <t>DASHBOARD E GOVERNANÇA NEXUS</t>
  </si>
  <si>
    <t>Total de Stakeholders:</t>
  </si>
  <si>
    <t>Stakeholders Prioridade Crítica (Score &gt;= 15):</t>
  </si>
  <si>
    <t>Alto Risco de Bloqueio (Nível 4 ou 5):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</si>
</sst>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</font>
    <font>
      <b/>
      <color rgb="FF4F81BD"/>
      <sz val="18"/>
    </font>
    <font>
      <b/>
    </font>
    <font>
      <b/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49"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MatrizOficial" displayName="MatrizOficial" ref="A1:Y3" totalsRowShown="1" headerRowCount="1">
  <autoFilter ref="A1:Y3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  <filterColumn colId="10" hiddenButton="0"/>
    <filterColumn colId="11" hiddenButton="0"/>
    <filterColumn colId="12" hiddenButton="0"/>
    <filterColumn colId="13" hiddenButton="0"/>
    <filterColumn colId="14" hiddenButton="0"/>
    <filterColumn colId="15" hiddenButton="0"/>
    <filterColumn colId="16" hiddenButton="0"/>
    <filterColumn colId="17" hiddenButton="0"/>
    <filterColumn colId="18" hiddenButton="0"/>
    <filterColumn colId="19" hiddenButton="0"/>
    <filterColumn colId="20" hiddenButton="0"/>
    <filterColumn colId="21" hiddenButton="0"/>
    <filterColumn colId="22" hiddenButton="0"/>
    <filterColumn colId="23" hiddenButton="0"/>
    <filterColumn colId="24" hiddenButton="0"/>
  </autoFilter>
  <tableColumns count="25">
    <tableColumn id="1" name="ID" totalsRowLabel="Total"/>
    <tableColumn id="2" name="Nome (Stakeholder)" totalsRowFunction="none"/>
    <tableColumn id="3" name="Tipo de Registro" totalsRowFunction="none"/>
    <tableColumn id="4" name="Papel no SBCE" totalsRowFunction="none"/>
    <tableColumn id="5" name="Camada 1 (Esfera)" totalsRowFunction="none"/>
    <tableColumn id="6" name="Camada 2 (Poder)" totalsRowFunction="none"/>
    <tableColumn id="7" name="Contato Principal" totalsRowFunction="none"/>
    <tableColumn id="8" name="Cargo" totalsRowFunction="none"/>
    <tableColumn id="9" name="Contato Secundário" totalsRowFunction="none"/>
    <tableColumn id="10" name="E-mail" totalsRowFunction="none"/>
    <tableColumn id="11" name="Telefone" totalsRowFunction="none"/>
    <tableColumn id="12" name="Influência (1-5)" totalsRowFunction="none"/>
    <tableColumn id="13" name="Exposição (1-5)" totalsRowFunction="none"/>
    <tableColumn id="14" name="Urgência (1-5)" totalsRowFunction="none"/>
    <tableColumn id="15" name="Potencial Bloqueio (1-5)" totalsRowFunction="none"/>
    <tableColumn id="16" name="Score Prioridade" totalsRowFunction="none"/>
    <tableColumn id="17" name="Estágio da Jornada" totalsRowFunction="none"/>
    <tableColumn id="18" name="Próxima Ação" totalsRowFunction="none"/>
    <tableColumn id="19" name="Owner Interno" totalsRowFunction="none"/>
    <tableColumn id="20" name="Data Último Contato" totalsRowFunction="none"/>
    <tableColumn id="21" name="Tipo de Interação" totalsRowFunction="none"/>
    <tableColumn id="22" name="Resumo Padronizado" totalsRowFunction="none"/>
    <tableColumn id="23" name="Tema Principal" totalsRowFunction="none"/>
    <tableColumn id="24" name="Tema Secundário" totalsRowFunction="none"/>
    <tableColumn id="25" name="Atualizado Por" totalsRowFunction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0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5" customWidth="1"/>
    <col min="2" max="2" width="40" customWidth="1"/>
    <col min="3" max="3" width="21" customWidth="1"/>
    <col min="4" max="4" width="15" customWidth="1"/>
    <col min="5" max="5" width="22" customWidth="1"/>
    <col min="6" max="6" width="21" customWidth="1"/>
    <col min="7" max="7" width="23" customWidth="1"/>
    <col min="8" max="8" width="15" customWidth="1"/>
    <col min="9" max="9" width="32" customWidth="1"/>
    <col min="10" max="10" width="27" customWidth="1"/>
    <col min="11" max="12" width="21" customWidth="1"/>
    <col min="13" max="13" width="20" customWidth="1"/>
    <col min="14" max="14" width="15" customWidth="1"/>
    <col min="15" max="15" width="29" customWidth="1"/>
    <col min="16" max="16" width="21" customWidth="1"/>
    <col min="17" max="17" width="23" customWidth="1"/>
    <col min="18" max="18" width="38" customWidth="1"/>
    <col min="19" max="19" width="26" customWidth="1"/>
    <col min="20" max="20" width="24" customWidth="1"/>
    <col min="21" max="21" width="23" customWidth="1"/>
    <col min="22" max="22" width="43" customWidth="1"/>
    <col min="23" max="23" width="20" customWidth="1"/>
    <col min="24" max="24" width="26" customWidth="1"/>
    <col min="25" max="25" width="1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1">
        <v>5</v>
      </c>
      <c r="M2" s="1">
        <v>5</v>
      </c>
      <c r="N2" s="1">
        <v>5</v>
      </c>
      <c r="O2" s="1">
        <v>2</v>
      </c>
      <c r="P2" s="2">
        <f>SUM(L2:O2)</f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5" x14ac:dyDescent="0.25">
      <c r="A3">
        <v>2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  <c r="I3" t="s">
        <v>51</v>
      </c>
      <c r="J3" t="s">
        <v>52</v>
      </c>
      <c r="K3" t="s">
        <v>53</v>
      </c>
      <c r="L3" s="1">
        <v>5</v>
      </c>
      <c r="M3" s="1">
        <v>5</v>
      </c>
      <c r="N3" s="1">
        <v>4</v>
      </c>
      <c r="O3" s="1">
        <v>5</v>
      </c>
      <c r="P3" s="2">
        <f>SUM(L3:O3)</f>
      </c>
      <c r="Q3" t="s">
        <v>54</v>
      </c>
      <c r="R3" t="s">
        <v>55</v>
      </c>
      <c r="S3" t="s">
        <v>56</v>
      </c>
      <c r="T3" t="s">
        <v>57</v>
      </c>
      <c r="U3" t="s">
        <v>58</v>
      </c>
      <c r="V3" t="s">
        <v>59</v>
      </c>
      <c r="W3" t="s">
        <v>60</v>
      </c>
      <c r="X3" t="s">
        <v>61</v>
      </c>
      <c r="Y3" t="s">
        <v>43</v>
      </c>
    </row>
    <row r="4" spans="12:17" x14ac:dyDescent="0.25">
      <c r="L4" s="1"/>
      <c r="M4" s="1"/>
      <c r="N4" s="1"/>
      <c r="O4" s="1"/>
      <c r="P4" s="2">
        <f>SUM(L4:O4)</f>
      </c>
    </row>
    <row r="5" spans="12:17" x14ac:dyDescent="0.25">
      <c r="L5" s="1"/>
      <c r="M5" s="1"/>
      <c r="N5" s="1"/>
      <c r="O5" s="1"/>
      <c r="P5" s="2">
        <f>SUM(L5:O5)</f>
      </c>
    </row>
    <row r="6" spans="12:17" x14ac:dyDescent="0.25">
      <c r="L6" s="1"/>
      <c r="M6" s="1"/>
      <c r="N6" s="1"/>
      <c r="O6" s="1"/>
      <c r="P6" s="2">
        <f>SUM(L6:O6)</f>
      </c>
    </row>
    <row r="7" spans="12:17" x14ac:dyDescent="0.25">
      <c r="L7" s="1"/>
      <c r="M7" s="1"/>
      <c r="N7" s="1"/>
      <c r="O7" s="1"/>
      <c r="P7" s="2">
        <f>SUM(L7:O7)</f>
      </c>
    </row>
    <row r="8" spans="12:17" x14ac:dyDescent="0.25">
      <c r="L8" s="1"/>
      <c r="M8" s="1"/>
      <c r="N8" s="1"/>
      <c r="O8" s="1"/>
      <c r="P8" s="2">
        <f>SUM(L8:O8)</f>
      </c>
    </row>
    <row r="9" spans="12:17" x14ac:dyDescent="0.25">
      <c r="L9" s="1"/>
      <c r="M9" s="1"/>
      <c r="N9" s="1"/>
      <c r="O9" s="1"/>
      <c r="P9" s="2">
        <f>SUM(L9:O9)</f>
      </c>
    </row>
    <row r="10" spans="12:17" x14ac:dyDescent="0.25">
      <c r="L10" s="1"/>
      <c r="M10" s="1"/>
      <c r="N10" s="1"/>
      <c r="O10" s="1"/>
      <c r="P10" s="2">
        <f>SUM(L10:O10)</f>
      </c>
    </row>
    <row r="11" spans="12:17" x14ac:dyDescent="0.25">
      <c r="L11" s="1"/>
      <c r="M11" s="1"/>
      <c r="N11" s="1"/>
      <c r="O11" s="1"/>
      <c r="P11" s="2">
        <f>SUM(L11:O11)</f>
      </c>
    </row>
    <row r="12" spans="12:17" x14ac:dyDescent="0.25">
      <c r="L12" s="1"/>
      <c r="M12" s="1"/>
      <c r="N12" s="1"/>
      <c r="O12" s="1"/>
      <c r="P12" s="2">
        <f>SUM(L12:O12)</f>
      </c>
    </row>
    <row r="13" spans="12:17" x14ac:dyDescent="0.25">
      <c r="L13" s="1"/>
      <c r="M13" s="1"/>
      <c r="N13" s="1"/>
      <c r="O13" s="1"/>
      <c r="P13" s="2">
        <f>SUM(L13:O13)</f>
      </c>
    </row>
    <row r="14" spans="12:17" x14ac:dyDescent="0.25">
      <c r="L14" s="1"/>
      <c r="M14" s="1"/>
      <c r="N14" s="1"/>
      <c r="O14" s="1"/>
      <c r="P14" s="2">
        <f>SUM(L14:O14)</f>
      </c>
    </row>
    <row r="15" spans="12:17" x14ac:dyDescent="0.25">
      <c r="L15" s="1"/>
      <c r="M15" s="1"/>
      <c r="N15" s="1"/>
      <c r="O15" s="1"/>
      <c r="P15" s="2">
        <f>SUM(L15:O15)</f>
      </c>
    </row>
    <row r="16" spans="12:17" x14ac:dyDescent="0.25">
      <c r="L16" s="1"/>
      <c r="M16" s="1"/>
      <c r="N16" s="1"/>
      <c r="O16" s="1"/>
      <c r="P16" s="2">
        <f>SUM(L16:O16)</f>
      </c>
    </row>
    <row r="17" spans="12:17" x14ac:dyDescent="0.25">
      <c r="L17" s="1"/>
      <c r="M17" s="1"/>
      <c r="N17" s="1"/>
      <c r="O17" s="1"/>
      <c r="P17" s="2">
        <f>SUM(L17:O17)</f>
      </c>
    </row>
    <row r="18" spans="12:17" x14ac:dyDescent="0.25">
      <c r="L18" s="1"/>
      <c r="M18" s="1"/>
      <c r="N18" s="1"/>
      <c r="O18" s="1"/>
      <c r="P18" s="2">
        <f>SUM(L18:O18)</f>
      </c>
    </row>
    <row r="19" spans="12:17" x14ac:dyDescent="0.25">
      <c r="L19" s="1"/>
      <c r="M19" s="1"/>
      <c r="N19" s="1"/>
      <c r="O19" s="1"/>
      <c r="P19" s="2">
        <f>SUM(L19:O19)</f>
      </c>
    </row>
    <row r="20" spans="12:17" x14ac:dyDescent="0.25">
      <c r="L20" s="1"/>
      <c r="M20" s="1"/>
      <c r="N20" s="1"/>
      <c r="O20" s="1"/>
      <c r="P20" s="2">
        <f>SUM(L20:O20)</f>
      </c>
    </row>
    <row r="21" spans="12:17" x14ac:dyDescent="0.25">
      <c r="L21" s="1"/>
      <c r="M21" s="1"/>
      <c r="N21" s="1"/>
      <c r="O21" s="1"/>
      <c r="P21" s="2">
        <f>SUM(L21:O21)</f>
      </c>
    </row>
    <row r="22" spans="12:17" x14ac:dyDescent="0.25">
      <c r="L22" s="1"/>
      <c r="M22" s="1"/>
      <c r="N22" s="1"/>
      <c r="O22" s="1"/>
      <c r="P22" s="2">
        <f>SUM(L22:O22)</f>
      </c>
    </row>
    <row r="23" spans="12:17" x14ac:dyDescent="0.25">
      <c r="L23" s="1"/>
      <c r="M23" s="1"/>
      <c r="N23" s="1"/>
      <c r="O23" s="1"/>
      <c r="P23" s="2">
        <f>SUM(L23:O23)</f>
      </c>
    </row>
    <row r="24" spans="12:17" x14ac:dyDescent="0.25">
      <c r="L24" s="1"/>
      <c r="M24" s="1"/>
      <c r="N24" s="1"/>
      <c r="O24" s="1"/>
      <c r="P24" s="2">
        <f>SUM(L24:O24)</f>
      </c>
    </row>
    <row r="25" spans="12:17" x14ac:dyDescent="0.25">
      <c r="L25" s="1"/>
      <c r="M25" s="1"/>
      <c r="N25" s="1"/>
      <c r="O25" s="1"/>
      <c r="P25" s="2">
        <f>SUM(L25:O25)</f>
      </c>
    </row>
    <row r="26" spans="12:17" x14ac:dyDescent="0.25">
      <c r="L26" s="1"/>
      <c r="M26" s="1"/>
      <c r="N26" s="1"/>
      <c r="O26" s="1"/>
      <c r="P26" s="2">
        <f>SUM(L26:O26)</f>
      </c>
    </row>
    <row r="27" spans="12:17" x14ac:dyDescent="0.25">
      <c r="L27" s="1"/>
      <c r="M27" s="1"/>
      <c r="N27" s="1"/>
      <c r="O27" s="1"/>
      <c r="P27" s="2">
        <f>SUM(L27:O27)</f>
      </c>
    </row>
    <row r="28" spans="12:17" x14ac:dyDescent="0.25">
      <c r="L28" s="1"/>
      <c r="M28" s="1"/>
      <c r="N28" s="1"/>
      <c r="O28" s="1"/>
      <c r="P28" s="2">
        <f>SUM(L28:O28)</f>
      </c>
    </row>
    <row r="29" spans="12:17" x14ac:dyDescent="0.25">
      <c r="L29" s="1"/>
      <c r="M29" s="1"/>
      <c r="N29" s="1"/>
      <c r="O29" s="1"/>
      <c r="P29" s="2">
        <f>SUM(L29:O29)</f>
      </c>
    </row>
    <row r="30" spans="12:17" x14ac:dyDescent="0.25">
      <c r="L30" s="1"/>
      <c r="M30" s="1"/>
      <c r="N30" s="1"/>
      <c r="O30" s="1"/>
      <c r="P30" s="2">
        <f>SUM(L30:O30)</f>
      </c>
    </row>
    <row r="31" spans="12:17" x14ac:dyDescent="0.25">
      <c r="L31" s="1"/>
      <c r="M31" s="1"/>
      <c r="N31" s="1"/>
      <c r="O31" s="1"/>
      <c r="P31" s="2">
        <f>SUM(L31:O31)</f>
      </c>
    </row>
    <row r="32" spans="12:17" x14ac:dyDescent="0.25">
      <c r="L32" s="1"/>
      <c r="M32" s="1"/>
      <c r="N32" s="1"/>
      <c r="O32" s="1"/>
      <c r="P32" s="2">
        <f>SUM(L32:O32)</f>
      </c>
    </row>
    <row r="33" spans="12:17" x14ac:dyDescent="0.25">
      <c r="L33" s="1"/>
      <c r="M33" s="1"/>
      <c r="N33" s="1"/>
      <c r="O33" s="1"/>
      <c r="P33" s="2">
        <f>SUM(L33:O33)</f>
      </c>
    </row>
    <row r="34" spans="12:17" x14ac:dyDescent="0.25">
      <c r="L34" s="1"/>
      <c r="M34" s="1"/>
      <c r="N34" s="1"/>
      <c r="O34" s="1"/>
      <c r="P34" s="2">
        <f>SUM(L34:O34)</f>
      </c>
    </row>
    <row r="35" spans="12:17" x14ac:dyDescent="0.25">
      <c r="L35" s="1"/>
      <c r="M35" s="1"/>
      <c r="N35" s="1"/>
      <c r="O35" s="1"/>
      <c r="P35" s="2">
        <f>SUM(L35:O35)</f>
      </c>
    </row>
    <row r="36" spans="12:17" x14ac:dyDescent="0.25">
      <c r="L36" s="1"/>
      <c r="M36" s="1"/>
      <c r="N36" s="1"/>
      <c r="O36" s="1"/>
      <c r="P36" s="2">
        <f>SUM(L36:O36)</f>
      </c>
    </row>
    <row r="37" spans="12:17" x14ac:dyDescent="0.25">
      <c r="L37" s="1"/>
      <c r="M37" s="1"/>
      <c r="N37" s="1"/>
      <c r="O37" s="1"/>
      <c r="P37" s="2">
        <f>SUM(L37:O37)</f>
      </c>
    </row>
    <row r="38" spans="12:17" x14ac:dyDescent="0.25">
      <c r="L38" s="1"/>
      <c r="M38" s="1"/>
      <c r="N38" s="1"/>
      <c r="O38" s="1"/>
      <c r="P38" s="2">
        <f>SUM(L38:O38)</f>
      </c>
    </row>
    <row r="39" spans="12:17" x14ac:dyDescent="0.25">
      <c r="L39" s="1"/>
      <c r="M39" s="1"/>
      <c r="N39" s="1"/>
      <c r="O39" s="1"/>
      <c r="P39" s="2">
        <f>SUM(L39:O39)</f>
      </c>
    </row>
    <row r="40" spans="12:17" x14ac:dyDescent="0.25">
      <c r="L40" s="1"/>
      <c r="M40" s="1"/>
      <c r="N40" s="1"/>
      <c r="O40" s="1"/>
      <c r="P40" s="2">
        <f>SUM(L40:O40)</f>
      </c>
    </row>
    <row r="41" spans="12:17" x14ac:dyDescent="0.25">
      <c r="L41" s="1"/>
      <c r="M41" s="1"/>
      <c r="N41" s="1"/>
      <c r="O41" s="1"/>
      <c r="P41" s="2">
        <f>SUM(L41:O41)</f>
      </c>
    </row>
    <row r="42" spans="12:17" x14ac:dyDescent="0.25">
      <c r="L42" s="1"/>
      <c r="M42" s="1"/>
      <c r="N42" s="1"/>
      <c r="O42" s="1"/>
      <c r="P42" s="2">
        <f>SUM(L42:O42)</f>
      </c>
    </row>
    <row r="43" spans="12:17" x14ac:dyDescent="0.25">
      <c r="L43" s="1"/>
      <c r="M43" s="1"/>
      <c r="N43" s="1"/>
      <c r="O43" s="1"/>
      <c r="P43" s="2">
        <f>SUM(L43:O43)</f>
      </c>
    </row>
    <row r="44" spans="12:17" x14ac:dyDescent="0.25">
      <c r="L44" s="1"/>
      <c r="M44" s="1"/>
      <c r="N44" s="1"/>
      <c r="O44" s="1"/>
      <c r="P44" s="2">
        <f>SUM(L44:O44)</f>
      </c>
    </row>
    <row r="45" spans="12:17" x14ac:dyDescent="0.25">
      <c r="L45" s="1"/>
      <c r="M45" s="1"/>
      <c r="N45" s="1"/>
      <c r="O45" s="1"/>
      <c r="P45" s="2">
        <f>SUM(L45:O45)</f>
      </c>
    </row>
    <row r="46" spans="12:17" x14ac:dyDescent="0.25">
      <c r="L46" s="1"/>
      <c r="M46" s="1"/>
      <c r="N46" s="1"/>
      <c r="O46" s="1"/>
      <c r="P46" s="2">
        <f>SUM(L46:O46)</f>
      </c>
    </row>
    <row r="47" spans="12:17" x14ac:dyDescent="0.25">
      <c r="L47" s="1"/>
      <c r="M47" s="1"/>
      <c r="N47" s="1"/>
      <c r="O47" s="1"/>
      <c r="P47" s="2">
        <f>SUM(L47:O47)</f>
      </c>
    </row>
    <row r="48" spans="12:17" x14ac:dyDescent="0.25">
      <c r="L48" s="1"/>
      <c r="M48" s="1"/>
      <c r="N48" s="1"/>
      <c r="O48" s="1"/>
      <c r="P48" s="2">
        <f>SUM(L48:O48)</f>
      </c>
    </row>
    <row r="49" spans="12:17" x14ac:dyDescent="0.25">
      <c r="L49" s="1"/>
      <c r="M49" s="1"/>
      <c r="N49" s="1"/>
      <c r="O49" s="1"/>
      <c r="P49" s="2">
        <f>SUM(L49:O49)</f>
      </c>
    </row>
    <row r="50" spans="12:17" x14ac:dyDescent="0.25">
      <c r="L50" s="1"/>
      <c r="M50" s="1"/>
      <c r="N50" s="1"/>
      <c r="O50" s="1"/>
      <c r="P50" s="2">
        <f>SUM(L50:O50)</f>
      </c>
    </row>
  </sheetData>
  <conditionalFormatting sqref="P2">
    <cfRule type="cellIs" dxfId="0" priority="1" operator="greaterThanOrEqual">
      <formula>15</formula>
    </cfRule>
  </conditionalFormatting>
  <conditionalFormatting sqref="P3">
    <cfRule type="cellIs" dxfId="1" priority="2" operator="greaterThanOrEqual">
      <formula>15</formula>
    </cfRule>
  </conditionalFormatting>
  <conditionalFormatting sqref="P4">
    <cfRule type="cellIs" dxfId="2" priority="3" operator="greaterThanOrEqual">
      <formula>15</formula>
    </cfRule>
  </conditionalFormatting>
  <conditionalFormatting sqref="P5">
    <cfRule type="cellIs" dxfId="3" priority="4" operator="greaterThanOrEqual">
      <formula>15</formula>
    </cfRule>
  </conditionalFormatting>
  <conditionalFormatting sqref="P6">
    <cfRule type="cellIs" dxfId="4" priority="5" operator="greaterThanOrEqual">
      <formula>15</formula>
    </cfRule>
  </conditionalFormatting>
  <conditionalFormatting sqref="P7">
    <cfRule type="cellIs" dxfId="5" priority="6" operator="greaterThanOrEqual">
      <formula>15</formula>
    </cfRule>
  </conditionalFormatting>
  <conditionalFormatting sqref="P8">
    <cfRule type="cellIs" dxfId="6" priority="7" operator="greaterThanOrEqual">
      <formula>15</formula>
    </cfRule>
  </conditionalFormatting>
  <conditionalFormatting sqref="P9">
    <cfRule type="cellIs" dxfId="7" priority="8" operator="greaterThanOrEqual">
      <formula>15</formula>
    </cfRule>
  </conditionalFormatting>
  <conditionalFormatting sqref="P10">
    <cfRule type="cellIs" dxfId="8" priority="9" operator="greaterThanOrEqual">
      <formula>15</formula>
    </cfRule>
  </conditionalFormatting>
  <conditionalFormatting sqref="P11">
    <cfRule type="cellIs" dxfId="9" priority="10" operator="greaterThanOrEqual">
      <formula>15</formula>
    </cfRule>
  </conditionalFormatting>
  <conditionalFormatting sqref="P12">
    <cfRule type="cellIs" dxfId="10" priority="11" operator="greaterThanOrEqual">
      <formula>15</formula>
    </cfRule>
  </conditionalFormatting>
  <conditionalFormatting sqref="P13">
    <cfRule type="cellIs" dxfId="11" priority="12" operator="greaterThanOrEqual">
      <formula>15</formula>
    </cfRule>
  </conditionalFormatting>
  <conditionalFormatting sqref="P14">
    <cfRule type="cellIs" dxfId="12" priority="13" operator="greaterThanOrEqual">
      <formula>15</formula>
    </cfRule>
  </conditionalFormatting>
  <conditionalFormatting sqref="P15">
    <cfRule type="cellIs" dxfId="13" priority="14" operator="greaterThanOrEqual">
      <formula>15</formula>
    </cfRule>
  </conditionalFormatting>
  <conditionalFormatting sqref="P16">
    <cfRule type="cellIs" dxfId="14" priority="15" operator="greaterThanOrEqual">
      <formula>15</formula>
    </cfRule>
  </conditionalFormatting>
  <conditionalFormatting sqref="P17">
    <cfRule type="cellIs" dxfId="15" priority="16" operator="greaterThanOrEqual">
      <formula>15</formula>
    </cfRule>
  </conditionalFormatting>
  <conditionalFormatting sqref="P18">
    <cfRule type="cellIs" dxfId="16" priority="17" operator="greaterThanOrEqual">
      <formula>15</formula>
    </cfRule>
  </conditionalFormatting>
  <conditionalFormatting sqref="P19">
    <cfRule type="cellIs" dxfId="17" priority="18" operator="greaterThanOrEqual">
      <formula>15</formula>
    </cfRule>
  </conditionalFormatting>
  <conditionalFormatting sqref="P20">
    <cfRule type="cellIs" dxfId="18" priority="19" operator="greaterThanOrEqual">
      <formula>15</formula>
    </cfRule>
  </conditionalFormatting>
  <conditionalFormatting sqref="P21">
    <cfRule type="cellIs" dxfId="19" priority="20" operator="greaterThanOrEqual">
      <formula>15</formula>
    </cfRule>
  </conditionalFormatting>
  <conditionalFormatting sqref="P22">
    <cfRule type="cellIs" dxfId="20" priority="21" operator="greaterThanOrEqual">
      <formula>15</formula>
    </cfRule>
  </conditionalFormatting>
  <conditionalFormatting sqref="P23">
    <cfRule type="cellIs" dxfId="21" priority="22" operator="greaterThanOrEqual">
      <formula>15</formula>
    </cfRule>
  </conditionalFormatting>
  <conditionalFormatting sqref="P24">
    <cfRule type="cellIs" dxfId="22" priority="23" operator="greaterThanOrEqual">
      <formula>15</formula>
    </cfRule>
  </conditionalFormatting>
  <conditionalFormatting sqref="P25">
    <cfRule type="cellIs" dxfId="23" priority="24" operator="greaterThanOrEqual">
      <formula>15</formula>
    </cfRule>
  </conditionalFormatting>
  <conditionalFormatting sqref="P26">
    <cfRule type="cellIs" dxfId="24" priority="25" operator="greaterThanOrEqual">
      <formula>15</formula>
    </cfRule>
  </conditionalFormatting>
  <conditionalFormatting sqref="P27">
    <cfRule type="cellIs" dxfId="25" priority="26" operator="greaterThanOrEqual">
      <formula>15</formula>
    </cfRule>
  </conditionalFormatting>
  <conditionalFormatting sqref="P28">
    <cfRule type="cellIs" dxfId="26" priority="27" operator="greaterThanOrEqual">
      <formula>15</formula>
    </cfRule>
  </conditionalFormatting>
  <conditionalFormatting sqref="P29">
    <cfRule type="cellIs" dxfId="27" priority="28" operator="greaterThanOrEqual">
      <formula>15</formula>
    </cfRule>
  </conditionalFormatting>
  <conditionalFormatting sqref="P30">
    <cfRule type="cellIs" dxfId="28" priority="29" operator="greaterThanOrEqual">
      <formula>15</formula>
    </cfRule>
  </conditionalFormatting>
  <conditionalFormatting sqref="P31">
    <cfRule type="cellIs" dxfId="29" priority="30" operator="greaterThanOrEqual">
      <formula>15</formula>
    </cfRule>
  </conditionalFormatting>
  <conditionalFormatting sqref="P32">
    <cfRule type="cellIs" dxfId="30" priority="31" operator="greaterThanOrEqual">
      <formula>15</formula>
    </cfRule>
  </conditionalFormatting>
  <conditionalFormatting sqref="P33">
    <cfRule type="cellIs" dxfId="31" priority="32" operator="greaterThanOrEqual">
      <formula>15</formula>
    </cfRule>
  </conditionalFormatting>
  <conditionalFormatting sqref="P34">
    <cfRule type="cellIs" dxfId="32" priority="33" operator="greaterThanOrEqual">
      <formula>15</formula>
    </cfRule>
  </conditionalFormatting>
  <conditionalFormatting sqref="P35">
    <cfRule type="cellIs" dxfId="33" priority="34" operator="greaterThanOrEqual">
      <formula>15</formula>
    </cfRule>
  </conditionalFormatting>
  <conditionalFormatting sqref="P36">
    <cfRule type="cellIs" dxfId="34" priority="35" operator="greaterThanOrEqual">
      <formula>15</formula>
    </cfRule>
  </conditionalFormatting>
  <conditionalFormatting sqref="P37">
    <cfRule type="cellIs" dxfId="35" priority="36" operator="greaterThanOrEqual">
      <formula>15</formula>
    </cfRule>
  </conditionalFormatting>
  <conditionalFormatting sqref="P38">
    <cfRule type="cellIs" dxfId="36" priority="37" operator="greaterThanOrEqual">
      <formula>15</formula>
    </cfRule>
  </conditionalFormatting>
  <conditionalFormatting sqref="P39">
    <cfRule type="cellIs" dxfId="37" priority="38" operator="greaterThanOrEqual">
      <formula>15</formula>
    </cfRule>
  </conditionalFormatting>
  <conditionalFormatting sqref="P40">
    <cfRule type="cellIs" dxfId="38" priority="39" operator="greaterThanOrEqual">
      <formula>15</formula>
    </cfRule>
  </conditionalFormatting>
  <conditionalFormatting sqref="P41">
    <cfRule type="cellIs" dxfId="39" priority="40" operator="greaterThanOrEqual">
      <formula>15</formula>
    </cfRule>
  </conditionalFormatting>
  <conditionalFormatting sqref="P42">
    <cfRule type="cellIs" dxfId="40" priority="41" operator="greaterThanOrEqual">
      <formula>15</formula>
    </cfRule>
  </conditionalFormatting>
  <conditionalFormatting sqref="P43">
    <cfRule type="cellIs" dxfId="41" priority="42" operator="greaterThanOrEqual">
      <formula>15</formula>
    </cfRule>
  </conditionalFormatting>
  <conditionalFormatting sqref="P44">
    <cfRule type="cellIs" dxfId="42" priority="43" operator="greaterThanOrEqual">
      <formula>15</formula>
    </cfRule>
  </conditionalFormatting>
  <conditionalFormatting sqref="P45">
    <cfRule type="cellIs" dxfId="43" priority="44" operator="greaterThanOrEqual">
      <formula>15</formula>
    </cfRule>
  </conditionalFormatting>
  <conditionalFormatting sqref="P46">
    <cfRule type="cellIs" dxfId="44" priority="45" operator="greaterThanOrEqual">
      <formula>15</formula>
    </cfRule>
  </conditionalFormatting>
  <conditionalFormatting sqref="P47">
    <cfRule type="cellIs" dxfId="45" priority="46" operator="greaterThanOrEqual">
      <formula>15</formula>
    </cfRule>
  </conditionalFormatting>
  <conditionalFormatting sqref="P48">
    <cfRule type="cellIs" dxfId="46" priority="47" operator="greaterThanOrEqual">
      <formula>15</formula>
    </cfRule>
  </conditionalFormatting>
  <conditionalFormatting sqref="P49">
    <cfRule type="cellIs" dxfId="47" priority="48" operator="greaterThanOrEqual">
      <formula>15</formula>
    </cfRule>
  </conditionalFormatting>
  <conditionalFormatting sqref="P50">
    <cfRule type="cellIs" dxfId="48" priority="49" operator="greaterThanOrEqual">
      <formula>15</formula>
    </cfRule>
  </conditionalFormatting>
  <dataValidations count="4">
    <dataValidation type="list" allowBlank="1" sqref="L10:O50">
      <formula1>"1,2,3,4,5"</formula1>
    </dataValidation>
    <dataValidation type="list" allowBlank="1" sqref="L2:O50">
      <formula1>"1,2,3,4,5"</formula1>
    </dataValidation>
    <dataValidation type="list" allowBlank="1" sqref="Q10:Q50">
      <formula1>"Identificado,Qualificado,Priorizado,Abordado,Engajado,Feedback registrado,Aliado potencial,Aliado ativo,Defensor do SBCE,Opositor,Cético"</formula1>
    </dataValidation>
    <dataValidation type="list" allowBlank="1" sqref="Q2:Q50">
      <formula1>"Identificado,Qualificado,Priorizado,Abordado,Engajado,Feedback registrado,Aliado potencial,Aliado ativo,Defensor do SBCE,Opositor,Cético"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B2:C6"/>
  <sheetFormatPr defaultRowHeight="15" outlineLevelRow="0" outlineLevelCol="0" x14ac:dyDescent="55"/>
  <sheetData>
    <row r="2" spans="2:2" x14ac:dyDescent="0.25">
      <c r="B2" s="3" t="s">
        <v>62</v>
      </c>
    </row>
    <row r="4" spans="2:3" x14ac:dyDescent="0.25">
      <c r="B4" s="4" t="s">
        <v>63</v>
      </c>
      <c r="C4">
        <f>COUNTA('Matriz Stakeholders'!B2:B500)</f>
      </c>
    </row>
    <row r="5" spans="2:3" x14ac:dyDescent="0.25">
      <c r="B5" s="4" t="s">
        <v>64</v>
      </c>
      <c r="C5" s="5">
        <f>COUNTIF('Matriz Stakeholders'!P2:P500, "&gt;=15")</f>
      </c>
    </row>
    <row r="6" spans="2:3" x14ac:dyDescent="0.25">
      <c r="B6" s="4" t="s">
        <v>65</v>
      </c>
      <c r="C6">
        <f>COUNTIF('Matriz Stakeholders'!O2:O500, "&gt;=4")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Matriz Stakeholders</vt:lpstr>
      <vt:lpstr>Nexus Analytics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AI</dc:creator>
  <dc:title/>
  <dc:subject/>
  <dc:description/>
  <cp:keywords/>
  <cp:category/>
  <cp:lastModifiedBy>Unknown</cp:lastModifiedBy>
  <dcterms:created xsi:type="dcterms:W3CDTF">2026-05-07T00:09:14Z</dcterms:created>
  <dcterms:modified xsi:type="dcterms:W3CDTF">2026-05-07T00:09:14Z</dcterms:modified>
</cp:coreProperties>
</file>