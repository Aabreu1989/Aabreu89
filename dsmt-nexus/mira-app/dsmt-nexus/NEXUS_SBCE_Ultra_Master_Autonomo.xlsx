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se de Dados" state="visible" r:id="rId4"/>
    <sheet sheetId="2" name="Nexus Dashboard Analytics" state="visible" r:id="rId5"/>
  </sheets>
  <calcPr calcId="171027"/>
</workbook>
</file>

<file path=xl/sharedStrings.xml><?xml version="1.0" encoding="utf-8"?>
<sst xmlns="http://schemas.openxmlformats.org/spreadsheetml/2006/main" count="46" uniqueCount="43">
  <si>
    <t>ID</t>
  </si>
  <si>
    <t>Stakeholder</t>
  </si>
  <si>
    <t>Tipo</t>
  </si>
  <si>
    <t>Papel SBCE</t>
  </si>
  <si>
    <t>Contato Principal</t>
  </si>
  <si>
    <t>Email</t>
  </si>
  <si>
    <t>Influência (1-5)</t>
  </si>
  <si>
    <t>Exposição (1-5)</t>
  </si>
  <si>
    <t>Urgência (1-5)</t>
  </si>
  <si>
    <t>Risco/Bloqueio (1-5)</t>
  </si>
  <si>
    <t>SCORE PRIORIDADE</t>
  </si>
  <si>
    <t>Estágio Jornada</t>
  </si>
  <si>
    <t>Próxima Ação</t>
  </si>
  <si>
    <t>Owner Interno</t>
  </si>
  <si>
    <t>Ministério de Minas e Energia</t>
  </si>
  <si>
    <t>Instituição</t>
  </si>
  <si>
    <t>Regulador</t>
  </si>
  <si>
    <t>Alexandre Silveira</t>
  </si>
  <si>
    <t>gabinete@mme.gov.br</t>
  </si>
  <si>
    <t>Defensor do SBCE</t>
  </si>
  <si>
    <t>Reunião Bilateral sobre CRVE</t>
  </si>
  <si>
    <t>Equipe MF - Clima</t>
  </si>
  <si>
    <t>CNI - Confederação da Indústria</t>
  </si>
  <si>
    <t>Regulado</t>
  </si>
  <si>
    <t>Ricardo Alban</t>
  </si>
  <si>
    <t>presidencia@cni.com.br</t>
  </si>
  <si>
    <t>Abordado</t>
  </si>
  <si>
    <t>Reunião de alto nível sobre custo</t>
  </si>
  <si>
    <t>Equipe MF - Industria</t>
  </si>
  <si>
    <t>MÉTRICAS NATIVAS NEXUS AI</t>
  </si>
  <si>
    <t>Total de Stakeholders:</t>
  </si>
  <si>
    <t>Stakeholders Prioridade Crítica (Score &gt;= 15):</t>
  </si>
  <si>
    <t>Alto Risco de Bloqueio (Nível 4 ou 5):</t>
  </si>
  <si>
    <t>DISTRIBUIÇÃO DO FUNIL DE JORNADA</t>
  </si>
  <si>
    <t>Identificado</t>
  </si>
  <si>
    <t>Qualificado</t>
  </si>
  <si>
    <t>Priorizado</t>
  </si>
  <si>
    <t>Engajado</t>
  </si>
  <si>
    <t>Feedback registrado</t>
  </si>
  <si>
    <t>Aliado potencial</t>
  </si>
  <si>
    <t>Aliado ativo</t>
  </si>
  <si>
    <t>Opositor</t>
  </si>
  <si>
    <t>Cético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</si>
</sst>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b/>
      <sz val="16"/>
    </font>
    <font>
      <b/>
      <color rgb="FFFF0000"/>
    </font>
  </fonts>
  <fills count="3">
    <fill>
      <patternFill patternType="none"/>
    </fill>
    <fill>
      <patternFill patternType="gray125"/>
    </fill>
    <fill>
      <patternFill patternType="solid">
        <fgColor rgb="FF1219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5" customWidth="1"/>
    <col min="3" max="4" width="15" customWidth="1"/>
    <col min="5" max="6" width="25" customWidth="1"/>
    <col min="7" max="9" width="15" customWidth="1"/>
    <col min="10" max="12" width="20" customWidth="1"/>
    <col min="13" max="13" width="30" customWidth="1"/>
    <col min="14" max="14" width="20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5</v>
      </c>
      <c r="H2">
        <v>5</v>
      </c>
      <c r="I2">
        <v>5</v>
      </c>
      <c r="J2">
        <v>2</v>
      </c>
      <c r="K2" s="2">
        <f>SUM(G2:J2)</f>
      </c>
      <c r="L2" t="s">
        <v>19</v>
      </c>
      <c r="M2" t="s">
        <v>20</v>
      </c>
      <c r="N2" t="s">
        <v>21</v>
      </c>
    </row>
    <row r="3" spans="1:14" x14ac:dyDescent="0.25">
      <c r="A3">
        <v>2</v>
      </c>
      <c r="B3" t="s">
        <v>22</v>
      </c>
      <c r="C3" t="s">
        <v>15</v>
      </c>
      <c r="D3" t="s">
        <v>23</v>
      </c>
      <c r="E3" t="s">
        <v>24</v>
      </c>
      <c r="F3" t="s">
        <v>25</v>
      </c>
      <c r="G3">
        <v>5</v>
      </c>
      <c r="H3">
        <v>5</v>
      </c>
      <c r="I3">
        <v>4</v>
      </c>
      <c r="J3">
        <v>5</v>
      </c>
      <c r="K3" s="2">
        <f>SUM(G3:J3)</f>
      </c>
      <c r="L3" t="s">
        <v>26</v>
      </c>
      <c r="M3" t="s">
        <v>27</v>
      </c>
      <c r="N3" t="s">
        <v>28</v>
      </c>
    </row>
    <row r="4" spans="11:11" x14ac:dyDescent="0.25">
      <c r="K4" s="2">
        <f>SUM(G4:J4)</f>
      </c>
    </row>
    <row r="5" spans="11:11" x14ac:dyDescent="0.25">
      <c r="K5" s="2">
        <f>SUM(G5:J5)</f>
      </c>
    </row>
    <row r="6" spans="11:11" x14ac:dyDescent="0.25">
      <c r="K6" s="2">
        <f>SUM(G6:J6)</f>
      </c>
    </row>
    <row r="7" spans="11:11" x14ac:dyDescent="0.25">
      <c r="K7" s="2">
        <f>SUM(G7:J7)</f>
      </c>
    </row>
    <row r="8" spans="11:11" x14ac:dyDescent="0.25">
      <c r="K8" s="2">
        <f>SUM(G8:J8)</f>
      </c>
    </row>
    <row r="9" spans="11:11" x14ac:dyDescent="0.25">
      <c r="K9" s="2">
        <f>SUM(G9:J9)</f>
      </c>
    </row>
    <row r="10" spans="11:11" x14ac:dyDescent="0.25">
      <c r="K10" s="2">
        <f>SUM(G10:J10)</f>
      </c>
    </row>
    <row r="11" spans="11:11" x14ac:dyDescent="0.25">
      <c r="K11" s="2">
        <f>SUM(G11:J11)</f>
      </c>
    </row>
    <row r="12" spans="11:11" x14ac:dyDescent="0.25">
      <c r="K12" s="2">
        <f>SUM(G12:J12)</f>
      </c>
    </row>
    <row r="13" spans="11:11" x14ac:dyDescent="0.25">
      <c r="K13" s="2">
        <f>SUM(G13:J13)</f>
      </c>
    </row>
    <row r="14" spans="11:11" x14ac:dyDescent="0.25">
      <c r="K14" s="2">
        <f>SUM(G14:J14)</f>
      </c>
    </row>
    <row r="15" spans="11:11" x14ac:dyDescent="0.25">
      <c r="K15" s="2">
        <f>SUM(G15:J15)</f>
      </c>
    </row>
    <row r="16" spans="11:11" x14ac:dyDescent="0.25">
      <c r="K16" s="2">
        <f>SUM(G16:J16)</f>
      </c>
    </row>
    <row r="17" spans="11:11" x14ac:dyDescent="0.25">
      <c r="K17" s="2">
        <f>SUM(G17:J17)</f>
      </c>
    </row>
    <row r="18" spans="11:11" x14ac:dyDescent="0.25">
      <c r="K18" s="2">
        <f>SUM(G18:J18)</f>
      </c>
    </row>
    <row r="19" spans="11:11" x14ac:dyDescent="0.25">
      <c r="K19" s="2">
        <f>SUM(G19:J19)</f>
      </c>
    </row>
    <row r="20" spans="11:11" x14ac:dyDescent="0.25">
      <c r="K20" s="2">
        <f>SUM(G20:J20)</f>
      </c>
    </row>
    <row r="21" spans="11:11" x14ac:dyDescent="0.25">
      <c r="K21" s="2">
        <f>SUM(G21:J21)</f>
      </c>
    </row>
    <row r="22" spans="11:11" x14ac:dyDescent="0.25">
      <c r="K22" s="2">
        <f>SUM(G22:J22)</f>
      </c>
    </row>
    <row r="23" spans="11:11" x14ac:dyDescent="0.25">
      <c r="K23" s="2">
        <f>SUM(G23:J23)</f>
      </c>
    </row>
    <row r="24" spans="11:11" x14ac:dyDescent="0.25">
      <c r="K24" s="2">
        <f>SUM(G24:J24)</f>
      </c>
    </row>
    <row r="25" spans="11:11" x14ac:dyDescent="0.25">
      <c r="K25" s="2">
        <f>SUM(G25:J25)</f>
      </c>
    </row>
    <row r="26" spans="11:11" x14ac:dyDescent="0.25">
      <c r="K26" s="2">
        <f>SUM(G26:J26)</f>
      </c>
    </row>
    <row r="27" spans="11:11" x14ac:dyDescent="0.25">
      <c r="K27" s="2">
        <f>SUM(G27:J27)</f>
      </c>
    </row>
    <row r="28" spans="11:11" x14ac:dyDescent="0.25">
      <c r="K28" s="2">
        <f>SUM(G28:J28)</f>
      </c>
    </row>
    <row r="29" spans="11:11" x14ac:dyDescent="0.25">
      <c r="K29" s="2">
        <f>SUM(G29:J29)</f>
      </c>
    </row>
    <row r="30" spans="11:11" x14ac:dyDescent="0.25">
      <c r="K30" s="2">
        <f>SUM(G30:J30)</f>
      </c>
    </row>
    <row r="31" spans="11:11" x14ac:dyDescent="0.25">
      <c r="K31" s="2">
        <f>SUM(G31:J31)</f>
      </c>
    </row>
    <row r="32" spans="11:11" x14ac:dyDescent="0.25">
      <c r="K32" s="2">
        <f>SUM(G32:J32)</f>
      </c>
    </row>
    <row r="33" spans="11:11" x14ac:dyDescent="0.25">
      <c r="K33" s="2">
        <f>SUM(G33:J33)</f>
      </c>
    </row>
    <row r="34" spans="11:11" x14ac:dyDescent="0.25">
      <c r="K34" s="2">
        <f>SUM(G34:J34)</f>
      </c>
    </row>
    <row r="35" spans="11:11" x14ac:dyDescent="0.25">
      <c r="K35" s="2">
        <f>SUM(G35:J35)</f>
      </c>
    </row>
    <row r="36" spans="11:11" x14ac:dyDescent="0.25">
      <c r="K36" s="2">
        <f>SUM(G36:J36)</f>
      </c>
    </row>
    <row r="37" spans="11:11" x14ac:dyDescent="0.25">
      <c r="K37" s="2">
        <f>SUM(G37:J37)</f>
      </c>
    </row>
    <row r="38" spans="11:11" x14ac:dyDescent="0.25">
      <c r="K38" s="2">
        <f>SUM(G38:J38)</f>
      </c>
    </row>
    <row r="39" spans="11:11" x14ac:dyDescent="0.25">
      <c r="K39" s="2">
        <f>SUM(G39:J39)</f>
      </c>
    </row>
    <row r="40" spans="11:11" x14ac:dyDescent="0.25">
      <c r="K40" s="2">
        <f>SUM(G40:J40)</f>
      </c>
    </row>
    <row r="41" spans="11:11" x14ac:dyDescent="0.25">
      <c r="K41" s="2">
        <f>SUM(G41:J41)</f>
      </c>
    </row>
    <row r="42" spans="11:11" x14ac:dyDescent="0.25">
      <c r="K42" s="2">
        <f>SUM(G42:J42)</f>
      </c>
    </row>
    <row r="43" spans="11:11" x14ac:dyDescent="0.25">
      <c r="K43" s="2">
        <f>SUM(G43:J43)</f>
      </c>
    </row>
    <row r="44" spans="11:11" x14ac:dyDescent="0.25">
      <c r="K44" s="2">
        <f>SUM(G44:J44)</f>
      </c>
    </row>
    <row r="45" spans="11:11" x14ac:dyDescent="0.25">
      <c r="K45" s="2">
        <f>SUM(G45:J45)</f>
      </c>
    </row>
    <row r="46" spans="11:11" x14ac:dyDescent="0.25">
      <c r="K46" s="2">
        <f>SUM(G46:J46)</f>
      </c>
    </row>
    <row r="47" spans="11:11" x14ac:dyDescent="0.25">
      <c r="K47" s="2">
        <f>SUM(G47:J47)</f>
      </c>
    </row>
    <row r="48" spans="11:11" x14ac:dyDescent="0.25">
      <c r="K48" s="2">
        <f>SUM(G48:J48)</f>
      </c>
    </row>
    <row r="49" spans="11:11" x14ac:dyDescent="0.25">
      <c r="K49" s="2">
        <f>SUM(G49:J49)</f>
      </c>
    </row>
    <row r="50" spans="11:11" x14ac:dyDescent="0.25">
      <c r="K50" s="2">
        <f>SUM(G50:J50)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9"/>
  <sheetFormatPr defaultRowHeight="15" outlineLevelRow="0" outlineLevelCol="0" x14ac:dyDescent="55"/>
  <sheetData>
    <row r="2" spans="2:2" x14ac:dyDescent="0.25">
      <c r="B2" s="3" t="s">
        <v>29</v>
      </c>
    </row>
    <row r="4" spans="2:3" x14ac:dyDescent="0.25">
      <c r="B4" t="s">
        <v>30</v>
      </c>
      <c r="C4">
        <f>COUNTA('Base de Dados'!B2:B50)</f>
      </c>
    </row>
    <row r="5" spans="2:3" x14ac:dyDescent="0.25">
      <c r="B5" t="s">
        <v>31</v>
      </c>
      <c r="C5" s="4">
        <f>COUNTIF('Base de Dados'!K2:K50, "&gt;=15")</f>
      </c>
    </row>
    <row r="6" spans="2:3" x14ac:dyDescent="0.25">
      <c r="B6" t="s">
        <v>32</v>
      </c>
      <c r="C6">
        <f>COUNTIF('Base de Dados'!J2:J50, "&gt;=4")</f>
      </c>
    </row>
    <row r="8" spans="2:2" x14ac:dyDescent="0.25">
      <c r="B8" s="2" t="s">
        <v>33</v>
      </c>
    </row>
    <row r="9" spans="2:3" x14ac:dyDescent="0.25">
      <c r="B9" t="s">
        <v>34</v>
      </c>
      <c r="C9">
        <f>COUNTIF('Base de Dados'!L2:L50, "Identificado")</f>
      </c>
    </row>
    <row r="10" spans="2:3" x14ac:dyDescent="0.25">
      <c r="B10" t="s">
        <v>35</v>
      </c>
      <c r="C10">
        <f>COUNTIF('Base de Dados'!L2:L50, "Qualificado")</f>
      </c>
    </row>
    <row r="11" spans="2:3" x14ac:dyDescent="0.25">
      <c r="B11" t="s">
        <v>36</v>
      </c>
      <c r="C11">
        <f>COUNTIF('Base de Dados'!L2:L50, "Priorizado")</f>
      </c>
    </row>
    <row r="12" spans="2:3" x14ac:dyDescent="0.25">
      <c r="B12" t="s">
        <v>26</v>
      </c>
      <c r="C12">
        <f>COUNTIF('Base de Dados'!L2:L50, "Abordado")</f>
      </c>
    </row>
    <row r="13" spans="2:3" x14ac:dyDescent="0.25">
      <c r="B13" t="s">
        <v>37</v>
      </c>
      <c r="C13">
        <f>COUNTIF('Base de Dados'!L2:L50, "Engajado")</f>
      </c>
    </row>
    <row r="14" spans="2:3" x14ac:dyDescent="0.25">
      <c r="B14" t="s">
        <v>38</v>
      </c>
      <c r="C14">
        <f>COUNTIF('Base de Dados'!L2:L50, "Feedback registrado")</f>
      </c>
    </row>
    <row r="15" spans="2:3" x14ac:dyDescent="0.25">
      <c r="B15" t="s">
        <v>39</v>
      </c>
      <c r="C15">
        <f>COUNTIF('Base de Dados'!L2:L50, "Aliado potencial")</f>
      </c>
    </row>
    <row r="16" spans="2:3" x14ac:dyDescent="0.25">
      <c r="B16" t="s">
        <v>40</v>
      </c>
      <c r="C16">
        <f>COUNTIF('Base de Dados'!L2:L50, "Aliado ativo")</f>
      </c>
    </row>
    <row r="17" spans="2:3" x14ac:dyDescent="0.25">
      <c r="B17" t="s">
        <v>19</v>
      </c>
      <c r="C17">
        <f>COUNTIF('Base de Dados'!L2:L50, "Defensor do SBCE")</f>
      </c>
    </row>
    <row r="18" spans="2:3" x14ac:dyDescent="0.25">
      <c r="B18" t="s">
        <v>41</v>
      </c>
      <c r="C18">
        <f>COUNTIF('Base de Dados'!L2:L50, "Opositor")</f>
      </c>
    </row>
    <row r="19" spans="2:3" x14ac:dyDescent="0.25">
      <c r="B19" t="s">
        <v>42</v>
      </c>
      <c r="C19">
        <f>COUNTIF('Base de Dados'!L2:L50, "Cético")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 de Dados</vt:lpstr>
      <vt:lpstr>Nexus Dashboard Analytics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Nexus AI</dc:creator>
  <dc:title/>
  <dc:subject/>
  <dc:description/>
  <cp:keywords/>
  <cp:category/>
  <cp:lastModifiedBy>Unknown</cp:lastModifiedBy>
  <dcterms:created xsi:type="dcterms:W3CDTF">2026-05-06T17:22:36Z</dcterms:created>
  <dcterms:modified xsi:type="dcterms:W3CDTF">2026-05-06T17:22:36Z</dcterms:modified>
</cp:coreProperties>
</file>